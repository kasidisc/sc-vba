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asidis\Desktop\"/>
    </mc:Choice>
  </mc:AlternateContent>
  <bookViews>
    <workbookView minimized="1" xWindow="0" yWindow="0" windowWidth="12015" windowHeight="5940" tabRatio="617" firstSheet="1" activeTab="3"/>
  </bookViews>
  <sheets>
    <sheet name="GV-Engine" sheetId="12" r:id="rId1"/>
    <sheet name="BH" sheetId="13" r:id="rId2"/>
    <sheet name="Report" sheetId="1" r:id="rId3"/>
    <sheet name="DataSheet" sheetId="14" r:id="rId4"/>
    <sheet name="SittingAdultNBC" sheetId="16" r:id="rId5"/>
    <sheet name="StandingAdultNBC" sheetId="17" r:id="rId6"/>
    <sheet name="SittingAdultDTC" sheetId="8" r:id="rId7"/>
    <sheet name="StandingAdultDTC" sheetId="11" r:id="rId8"/>
    <sheet name="Calculation" sheetId="9" r:id="rId9"/>
    <sheet name="Result" sheetId="15" r:id="rId10"/>
  </sheets>
  <externalReferences>
    <externalReference r:id="rId11"/>
  </externalReferences>
  <definedNames>
    <definedName name="AKH" localSheetId="9">[1]Sheet1!$G$2</definedName>
    <definedName name="AKH">DataSheet!$G$2</definedName>
    <definedName name="AMH" localSheetId="9">[1]Sheet1!$J$2</definedName>
    <definedName name="AMH">DataSheet!$J$2</definedName>
    <definedName name="ASH" localSheetId="9">[1]Sheet1!$D$2</definedName>
    <definedName name="ASH">DataSheet!$D$2</definedName>
    <definedName name="BodyHeight">SittingAdultDTC!$G$2</definedName>
    <definedName name="FR">Result!$C$8</definedName>
    <definedName name="Gender" localSheetId="9">[1]Sheet1!$B$2</definedName>
    <definedName name="Gender">DataSheet!$B$2</definedName>
    <definedName name="Gender1">#REF!</definedName>
    <definedName name="GV">SittingAdultDTC!$F$2</definedName>
    <definedName name="GVcode">SittingAdultDTC!$G$3</definedName>
    <definedName name="GVfactor">'GV-Engine'!$B$2</definedName>
    <definedName name="Height" localSheetId="9">[1]Sheet1!$C$2</definedName>
    <definedName name="Height">DataSheet!$C$2</definedName>
    <definedName name="KS">Result!$C$6</definedName>
    <definedName name="MnKH" localSheetId="9">[1]Sheet1!$H$2</definedName>
    <definedName name="MnKH">DataSheet!$H$2</definedName>
    <definedName name="MnMH" localSheetId="9">[1]Sheet1!$K$2</definedName>
    <definedName name="MnMH">DataSheet!$K$2</definedName>
    <definedName name="MnSH" localSheetId="9">[1]Sheet1!$E$2</definedName>
    <definedName name="MnSH">DataSheet!$E$2</definedName>
    <definedName name="MS">Result!$C$7</definedName>
    <definedName name="MxKH" localSheetId="9">[1]Sheet1!$I$2</definedName>
    <definedName name="MxKH">DataSheet!$I$2</definedName>
    <definedName name="MxMH" localSheetId="9">[1]Sheet1!$L$2</definedName>
    <definedName name="MxMH">DataSheet!$L$2</definedName>
    <definedName name="MxSH" localSheetId="9">[1]Sheet1!$F$2</definedName>
    <definedName name="MxSH">DataSheet!$F$2</definedName>
    <definedName name="RKH">[1]RecommendedHeight!$C$3</definedName>
    <definedName name="RMH">[1]RecommendedHeight!$C$4</definedName>
    <definedName name="RSH">[1]RecommendedHeight!$C$2</definedName>
    <definedName name="SS">Result!$C$5</definedName>
    <definedName name="SV">Calculation!$E$15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2" l="1"/>
  <c r="C9" i="9" l="1"/>
  <c r="C4" i="9" l="1"/>
  <c r="C3" i="9" l="1"/>
  <c r="B2" i="1" s="1"/>
  <c r="C5" i="9"/>
  <c r="B4" i="1" s="1"/>
  <c r="G3" i="8"/>
  <c r="B3" i="1"/>
  <c r="B7" i="1" l="1"/>
  <c r="C15" i="9"/>
  <c r="C16" i="9" s="1"/>
  <c r="C17" i="9" s="1"/>
  <c r="C8" i="9"/>
  <c r="B6" i="1" s="1"/>
</calcChain>
</file>

<file path=xl/sharedStrings.xml><?xml version="1.0" encoding="utf-8"?>
<sst xmlns="http://schemas.openxmlformats.org/spreadsheetml/2006/main" count="165" uniqueCount="94">
  <si>
    <t>Intercept</t>
  </si>
  <si>
    <t>BH</t>
  </si>
  <si>
    <t>Standing Adult DTC</t>
  </si>
  <si>
    <t>GD</t>
  </si>
  <si>
    <t>RSH</t>
  </si>
  <si>
    <t>RKHST</t>
  </si>
  <si>
    <t>RMHST</t>
  </si>
  <si>
    <t>GV</t>
  </si>
  <si>
    <t>BODY HEIGHT</t>
  </si>
  <si>
    <t>Report</t>
  </si>
  <si>
    <t>Sitting Adult DTC</t>
  </si>
  <si>
    <t>Output</t>
  </si>
  <si>
    <t>RKHSD</t>
  </si>
  <si>
    <t>RMHSD</t>
  </si>
  <si>
    <t>Male</t>
  </si>
  <si>
    <t>Gender</t>
  </si>
  <si>
    <t>Height</t>
  </si>
  <si>
    <t>Actual Seat</t>
  </si>
  <si>
    <t>Min Seat</t>
  </si>
  <si>
    <t>Max Seat</t>
  </si>
  <si>
    <t>Actual Keyboard</t>
  </si>
  <si>
    <t>Min Keyboard</t>
  </si>
  <si>
    <t>Max Keyboard</t>
  </si>
  <si>
    <t>Actual Monitor</t>
  </si>
  <si>
    <t>Min Monitor</t>
  </si>
  <si>
    <t>Max monitor</t>
  </si>
  <si>
    <t>Workstation</t>
  </si>
  <si>
    <t xml:space="preserve">   Minimum Seat</t>
  </si>
  <si>
    <t xml:space="preserve">   Maximum Seat</t>
  </si>
  <si>
    <t xml:space="preserve">   Minimum Keyboard</t>
  </si>
  <si>
    <t xml:space="preserve">   Maximum Keyboard</t>
  </si>
  <si>
    <t xml:space="preserve">   Minimum Monitor</t>
  </si>
  <si>
    <t xml:space="preserve">   Maximum Monitor</t>
  </si>
  <si>
    <t>Add Support</t>
  </si>
  <si>
    <t>cm</t>
  </si>
  <si>
    <t>Actual Height</t>
  </si>
  <si>
    <t>Seat Height</t>
  </si>
  <si>
    <t>Keyboard Height</t>
  </si>
  <si>
    <t>Monitor Height</t>
  </si>
  <si>
    <t>SS</t>
  </si>
  <si>
    <t>KS</t>
  </si>
  <si>
    <t>MS</t>
  </si>
  <si>
    <t>FR</t>
  </si>
  <si>
    <t>ASH</t>
  </si>
  <si>
    <t>AKH</t>
  </si>
  <si>
    <t>AMH</t>
  </si>
  <si>
    <t>-</t>
  </si>
  <si>
    <t>Adjustable</t>
  </si>
  <si>
    <t>Non-Adjustable</t>
  </si>
  <si>
    <t>Age</t>
  </si>
  <si>
    <t>User Name</t>
  </si>
  <si>
    <t>Posture Type</t>
  </si>
  <si>
    <t>Seated</t>
  </si>
  <si>
    <t>RWSHST</t>
  </si>
  <si>
    <t>RWSHSD (Male)</t>
  </si>
  <si>
    <t>RWSHSD (Female)</t>
  </si>
  <si>
    <t>RBTA</t>
  </si>
  <si>
    <t>RBSA</t>
  </si>
  <si>
    <t>RBCD</t>
  </si>
  <si>
    <t>ScrSize</t>
  </si>
  <si>
    <t>ScrSize11</t>
  </si>
  <si>
    <t>ScrSize12</t>
  </si>
  <si>
    <t>ScrSize13</t>
  </si>
  <si>
    <t>ScrSize14</t>
  </si>
  <si>
    <t>Sitting Adult NBC</t>
  </si>
  <si>
    <t>Standing Adult NBC</t>
  </si>
  <si>
    <t>Screen Variable</t>
  </si>
  <si>
    <t>Fixed</t>
  </si>
  <si>
    <t>MnMH</t>
  </si>
  <si>
    <t>MxMH</t>
  </si>
  <si>
    <t>MnKH</t>
  </si>
  <si>
    <t>MxKH</t>
  </si>
  <si>
    <t>Add</t>
  </si>
  <si>
    <t>FP</t>
  </si>
  <si>
    <t>Stand</t>
  </si>
  <si>
    <t>RWSHSD</t>
  </si>
  <si>
    <t>AWSHST</t>
  </si>
  <si>
    <t>AWSHSD</t>
  </si>
  <si>
    <t>Actual Work Surface</t>
  </si>
  <si>
    <t>Min. WSH</t>
  </si>
  <si>
    <t>Max. WSH</t>
  </si>
  <si>
    <t>WSH</t>
  </si>
  <si>
    <t>SC</t>
  </si>
  <si>
    <t>NASH</t>
  </si>
  <si>
    <t>NAKH</t>
  </si>
  <si>
    <t>NAMH</t>
  </si>
  <si>
    <t>BS</t>
  </si>
  <si>
    <t>Old one don't use</t>
  </si>
  <si>
    <t>RSHST</t>
  </si>
  <si>
    <t>RSHSD</t>
  </si>
  <si>
    <t>NBC</t>
  </si>
  <si>
    <t>13</t>
  </si>
  <si>
    <t>Desktop</t>
  </si>
  <si>
    <t>pong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</si>
</sst>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000"/>
    <numFmt numFmtId="165" formatCode="0.000000"/>
    <numFmt numFmtId="166" formatCode="#,##0.00_ ;\-#,##0.00\ "/>
    <numFmt numFmtId="167" formatCode="0.000"/>
  </numFmts>
  <fonts count="5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8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0" xfId="0" applyBorder="1"/>
    <xf numFmtId="0" fontId="0" fillId="0" borderId="15" xfId="0" applyBorder="1"/>
    <xf numFmtId="0" fontId="1" fillId="0" borderId="7" xfId="0" applyFont="1" applyBorder="1"/>
    <xf numFmtId="164" fontId="1" fillId="0" borderId="8" xfId="0" applyNumberFormat="1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0" xfId="0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0" fillId="2" borderId="0" xfId="0" applyFill="1"/>
    <xf numFmtId="0" fontId="0" fillId="0" borderId="0" xfId="0" applyFill="1" applyBorder="1"/>
    <xf numFmtId="0" fontId="1" fillId="0" borderId="8" xfId="0" applyFont="1" applyBorder="1"/>
    <xf numFmtId="0" fontId="1" fillId="3" borderId="14" xfId="0" applyFont="1" applyFill="1" applyBorder="1"/>
    <xf numFmtId="165" fontId="0" fillId="0" borderId="15" xfId="0" applyNumberFormat="1" applyBorder="1"/>
    <xf numFmtId="0" fontId="0" fillId="0" borderId="0" xfId="0" applyFont="1" applyFill="1" applyBorder="1"/>
    <xf numFmtId="0" fontId="0" fillId="0" borderId="7" xfId="0" applyFill="1" applyBorder="1"/>
    <xf numFmtId="0" fontId="0" fillId="0" borderId="12" xfId="0" applyFill="1" applyBorder="1"/>
    <xf numFmtId="0" fontId="3" fillId="0" borderId="1" xfId="1" applyBorder="1" applyAlignment="1">
      <alignment horizontal="center"/>
    </xf>
    <xf numFmtId="0" fontId="3" fillId="0" borderId="0" xfId="1"/>
    <xf numFmtId="0" fontId="3" fillId="0" borderId="1" xfId="1" applyFill="1" applyBorder="1" applyAlignment="1">
      <alignment horizontal="center"/>
    </xf>
    <xf numFmtId="0" fontId="3" fillId="0" borderId="1" xfId="1" applyBorder="1"/>
    <xf numFmtId="166" fontId="3" fillId="0" borderId="1" xfId="1" applyNumberFormat="1" applyBorder="1" applyAlignment="1">
      <alignment horizontal="center"/>
    </xf>
    <xf numFmtId="165" fontId="0" fillId="0" borderId="3" xfId="0" applyNumberFormat="1" applyBorder="1"/>
    <xf numFmtId="165" fontId="0" fillId="0" borderId="1" xfId="0" applyNumberFormat="1" applyBorder="1"/>
    <xf numFmtId="0" fontId="0" fillId="0" borderId="12" xfId="0" applyBorder="1"/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0" borderId="0" xfId="0" applyFont="1" applyFill="1" applyBorder="1"/>
    <xf numFmtId="0" fontId="0" fillId="0" borderId="0" xfId="0" applyFill="1"/>
    <xf numFmtId="167" fontId="0" fillId="0" borderId="0" xfId="0" applyNumberFormat="1"/>
    <xf numFmtId="0" fontId="0" fillId="5" borderId="7" xfId="0" applyFill="1" applyBorder="1"/>
    <xf numFmtId="167" fontId="0" fillId="0" borderId="8" xfId="0" applyNumberFormat="1" applyBorder="1"/>
    <xf numFmtId="0" fontId="0" fillId="5" borderId="10" xfId="0" applyFill="1" applyBorder="1"/>
    <xf numFmtId="167" fontId="0" fillId="0" borderId="0" xfId="0" applyNumberFormat="1" applyBorder="1"/>
    <xf numFmtId="0" fontId="0" fillId="5" borderId="12" xfId="0" applyFill="1" applyBorder="1"/>
    <xf numFmtId="167" fontId="0" fillId="0" borderId="13" xfId="0" applyNumberFormat="1" applyBorder="1"/>
    <xf numFmtId="167" fontId="0" fillId="0" borderId="9" xfId="0" applyNumberFormat="1" applyBorder="1"/>
    <xf numFmtId="167" fontId="0" fillId="0" borderId="11" xfId="0" applyNumberFormat="1" applyBorder="1"/>
    <xf numFmtId="167" fontId="0" fillId="0" borderId="14" xfId="0" applyNumberFormat="1" applyBorder="1"/>
    <xf numFmtId="0" fontId="0" fillId="0" borderId="15" xfId="0" applyFill="1" applyBorder="1"/>
    <xf numFmtId="0" fontId="0" fillId="0" borderId="3" xfId="0" applyFill="1" applyBorder="1"/>
    <xf numFmtId="0" fontId="0" fillId="4" borderId="15" xfId="0" applyFill="1" applyBorder="1"/>
    <xf numFmtId="0" fontId="0" fillId="4" borderId="2" xfId="0" applyFill="1" applyBorder="1"/>
    <xf numFmtId="0" fontId="0" fillId="4" borderId="3" xfId="0" applyFill="1" applyBorder="1"/>
    <xf numFmtId="167" fontId="0" fillId="0" borderId="15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4" borderId="1" xfId="0" applyFill="1" applyBorder="1"/>
    <xf numFmtId="0" fontId="0" fillId="5" borderId="15" xfId="0" applyFill="1" applyBorder="1"/>
    <xf numFmtId="0" fontId="0" fillId="5" borderId="2" xfId="0" applyFill="1" applyBorder="1"/>
    <xf numFmtId="0" fontId="0" fillId="5" borderId="3" xfId="0" applyFill="1" applyBorder="1"/>
    <xf numFmtId="0" fontId="0" fillId="4" borderId="0" xfId="0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textRotation="180"/>
    </xf>
    <xf numFmtId="0" fontId="4" fillId="0" borderId="0" xfId="0" applyFont="1" applyAlignment="1">
      <alignment horizontal="center" textRotation="180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9" xfId="0" applyFont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sidis%20Chomrat/Downloads/ErgoCom%20(Thai-English)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heet1"/>
      <sheetName val="MaleRegression"/>
      <sheetName val="FemaleRegression"/>
      <sheetName val="RecommendedHeight"/>
      <sheetName val="Result"/>
      <sheetName val="Report"/>
      <sheetName val="Report (2)"/>
    </sheetNames>
    <sheetDataSet>
      <sheetData sheetId="0"/>
      <sheetData sheetId="1"/>
      <sheetData sheetId="2"/>
      <sheetData sheetId="3"/>
      <sheetData sheetId="4">
        <row r="2">
          <cell r="C2">
            <v>-25</v>
          </cell>
        </row>
        <row r="3">
          <cell r="C3">
            <v>-65</v>
          </cell>
        </row>
        <row r="4">
          <cell r="C4">
            <v>-38</v>
          </cell>
        </row>
      </sheetData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"/>
  <sheetViews>
    <sheetView workbookViewId="0">
      <selection activeCell="B2" sqref="B2"/>
    </sheetView>
  </sheetViews>
  <sheetFormatPr defaultRowHeight="15"/>
  <sheetData>
    <row r="2" spans="2:2">
      <c r="B2">
        <f>IF(GV="Male",0,1)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3"/>
  <sheetViews>
    <sheetView workbookViewId="0">
      <selection activeCell="B30" sqref="B30"/>
    </sheetView>
  </sheetViews>
  <sheetFormatPr defaultRowHeight="15"/>
  <sheetData>
    <row r="1" spans="1:7">
      <c r="A1" t="s">
        <v>9</v>
      </c>
      <c r="D1" t="s">
        <v>26</v>
      </c>
    </row>
    <row r="2" spans="1:7">
      <c r="A2" s="11" t="s">
        <v>4</v>
      </c>
      <c r="B2" s="51">
        <f>Calculation!C3</f>
        <v>53.652322499999997</v>
      </c>
      <c r="C2" s="68" t="s">
        <v>52</v>
      </c>
      <c r="E2" t="s">
        <v>17</v>
      </c>
    </row>
    <row r="3" spans="1:7">
      <c r="A3" s="1" t="s">
        <v>5</v>
      </c>
      <c r="B3" s="52">
        <f>Calculation!C4</f>
        <v>88.730180000000004</v>
      </c>
      <c r="C3" s="68"/>
      <c r="E3" t="s">
        <v>27</v>
      </c>
      <c r="G3">
        <v>40</v>
      </c>
    </row>
    <row r="4" spans="1:7">
      <c r="A4" s="2" t="s">
        <v>6</v>
      </c>
      <c r="B4" s="53">
        <f>Calculation!C5</f>
        <v>143.01295769999999</v>
      </c>
      <c r="C4" s="68"/>
      <c r="E4" t="s">
        <v>28</v>
      </c>
      <c r="G4">
        <v>50</v>
      </c>
    </row>
    <row r="5" spans="1:7">
      <c r="E5" t="s">
        <v>20</v>
      </c>
    </row>
    <row r="6" spans="1:7">
      <c r="A6" s="54" t="s">
        <v>12</v>
      </c>
      <c r="B6" s="51">
        <f>Calculation!C8</f>
        <v>120.45869929999999</v>
      </c>
      <c r="C6" s="69" t="s">
        <v>74</v>
      </c>
      <c r="E6" t="s">
        <v>29</v>
      </c>
      <c r="G6">
        <v>0</v>
      </c>
    </row>
    <row r="7" spans="1:7">
      <c r="A7" s="55" t="s">
        <v>13</v>
      </c>
      <c r="B7" s="53">
        <f>Calculation!C9</f>
        <v>177.61680669999998</v>
      </c>
      <c r="C7" s="69"/>
      <c r="E7" t="s">
        <v>30</v>
      </c>
      <c r="G7">
        <v>0</v>
      </c>
    </row>
    <row r="8" spans="1:7">
      <c r="B8" s="44"/>
      <c r="E8" t="s">
        <v>23</v>
      </c>
    </row>
    <row r="9" spans="1:7">
      <c r="A9" s="63" t="s">
        <v>43</v>
      </c>
      <c r="B9" s="51">
        <v>40</v>
      </c>
      <c r="E9" t="s">
        <v>31</v>
      </c>
      <c r="G9">
        <v>0</v>
      </c>
    </row>
    <row r="10" spans="1:7">
      <c r="A10" s="64" t="s">
        <v>44</v>
      </c>
      <c r="B10" s="52">
        <v>60</v>
      </c>
      <c r="E10" t="s">
        <v>32</v>
      </c>
      <c r="G10">
        <v>0</v>
      </c>
    </row>
    <row r="11" spans="1:7">
      <c r="A11" s="65" t="s">
        <v>45</v>
      </c>
      <c r="B11" s="53">
        <v>150</v>
      </c>
      <c r="E11" s="70" t="s">
        <v>78</v>
      </c>
      <c r="F11" s="70"/>
    </row>
    <row r="12" spans="1:7">
      <c r="B12" s="44"/>
      <c r="E12" s="71" t="s">
        <v>79</v>
      </c>
      <c r="F12" s="71"/>
    </row>
    <row r="13" spans="1:7">
      <c r="A13" s="45" t="s">
        <v>42</v>
      </c>
      <c r="B13" s="46">
        <v>26.347679138183594</v>
      </c>
      <c r="C13" s="72" t="s">
        <v>87</v>
      </c>
      <c r="E13" s="71" t="s">
        <v>80</v>
      </c>
      <c r="F13" s="71"/>
    </row>
    <row r="14" spans="1:7">
      <c r="A14" s="47" t="s">
        <v>39</v>
      </c>
      <c r="B14" s="48"/>
      <c r="C14" s="73"/>
    </row>
    <row r="15" spans="1:7">
      <c r="A15" s="47" t="s">
        <v>40</v>
      </c>
      <c r="B15" s="48">
        <v>75.389297485351563</v>
      </c>
      <c r="C15" s="73"/>
    </row>
    <row r="16" spans="1:7">
      <c r="A16" s="49" t="s">
        <v>41</v>
      </c>
      <c r="B16" s="50">
        <v>59.360626220703125</v>
      </c>
      <c r="C16" s="74"/>
    </row>
    <row r="17" spans="1:3">
      <c r="B17" s="44"/>
    </row>
    <row r="18" spans="1:3">
      <c r="A18" s="56" t="s">
        <v>53</v>
      </c>
      <c r="B18" s="59">
        <v>0</v>
      </c>
    </row>
    <row r="19" spans="1:3">
      <c r="A19" s="57" t="s">
        <v>76</v>
      </c>
      <c r="B19" s="60">
        <v>0</v>
      </c>
    </row>
    <row r="20" spans="1:3">
      <c r="A20" s="57" t="s">
        <v>75</v>
      </c>
      <c r="B20" s="60">
        <v>0</v>
      </c>
    </row>
    <row r="21" spans="1:3">
      <c r="A21" s="58" t="s">
        <v>77</v>
      </c>
      <c r="B21" s="60">
        <v>0</v>
      </c>
    </row>
    <row r="22" spans="1:3">
      <c r="A22" s="9"/>
      <c r="B22" s="48"/>
    </row>
    <row r="23" spans="1:3">
      <c r="A23" s="9" t="s">
        <v>81</v>
      </c>
      <c r="B23" s="48"/>
    </row>
    <row r="24" spans="1:3">
      <c r="A24" s="9"/>
      <c r="B24" s="10"/>
    </row>
    <row r="25" spans="1:3">
      <c r="A25" s="62" t="s">
        <v>59</v>
      </c>
      <c r="B25" s="6" t="s">
        <v>91</v>
      </c>
    </row>
    <row r="26" spans="1:3">
      <c r="A26" s="9"/>
      <c r="B26" s="10"/>
      <c r="C26" s="10"/>
    </row>
    <row r="27" spans="1:3">
      <c r="A27" s="56" t="s">
        <v>39</v>
      </c>
      <c r="B27" s="59">
        <v>11</v>
      </c>
    </row>
    <row r="28" spans="1:3">
      <c r="A28" s="57" t="s">
        <v>40</v>
      </c>
      <c r="B28" s="60">
        <v>36</v>
      </c>
    </row>
    <row r="29" spans="1:3">
      <c r="A29" s="57" t="s">
        <v>41</v>
      </c>
      <c r="B29" s="60">
        <v>0</v>
      </c>
    </row>
    <row r="30" spans="1:3">
      <c r="A30" s="57" t="s">
        <v>42</v>
      </c>
      <c r="B30" s="60">
        <v>7</v>
      </c>
    </row>
    <row r="31" spans="1:3">
      <c r="A31" s="57" t="s">
        <v>82</v>
      </c>
      <c r="B31" s="60">
        <v>0</v>
      </c>
    </row>
    <row r="32" spans="1:3">
      <c r="A32" s="57" t="s">
        <v>73</v>
      </c>
      <c r="B32" s="60">
        <v>0</v>
      </c>
    </row>
    <row r="33" spans="1:3">
      <c r="A33" s="57" t="s">
        <v>83</v>
      </c>
      <c r="B33" s="60">
        <v>50</v>
      </c>
    </row>
    <row r="34" spans="1:3">
      <c r="A34" s="57" t="s">
        <v>84</v>
      </c>
      <c r="B34" s="60">
        <v>60</v>
      </c>
    </row>
    <row r="35" spans="1:3">
      <c r="A35" s="57" t="s">
        <v>85</v>
      </c>
      <c r="B35" s="60">
        <v>150</v>
      </c>
    </row>
    <row r="36" spans="1:3">
      <c r="A36" s="58" t="s">
        <v>86</v>
      </c>
      <c r="B36" s="61">
        <v>0</v>
      </c>
    </row>
    <row r="37" spans="1:3">
      <c r="A37" s="9"/>
      <c r="B37" s="10"/>
      <c r="C37" s="10"/>
    </row>
    <row r="38" spans="1:3">
      <c r="A38" s="56" t="s">
        <v>56</v>
      </c>
      <c r="B38" s="59">
        <v>0</v>
      </c>
    </row>
    <row r="39" spans="1:3">
      <c r="A39" s="57" t="s">
        <v>57</v>
      </c>
      <c r="B39" s="60">
        <v>0</v>
      </c>
    </row>
    <row r="40" spans="1:3">
      <c r="A40" s="58" t="s">
        <v>58</v>
      </c>
      <c r="B40" s="61">
        <v>0</v>
      </c>
    </row>
    <row r="42" spans="1:3">
      <c r="A42" s="66" t="s">
        <v>88</v>
      </c>
      <c r="C42" s="67" t="s">
        <v>90</v>
      </c>
    </row>
    <row r="43" spans="1:3">
      <c r="A43" s="66" t="s">
        <v>89</v>
      </c>
      <c r="C43" s="67"/>
    </row>
  </sheetData>
  <mergeCells count="7">
    <mergeCell ref="C42:C43"/>
    <mergeCell ref="C2:C4"/>
    <mergeCell ref="C6:C7"/>
    <mergeCell ref="E11:F11"/>
    <mergeCell ref="E12:F12"/>
    <mergeCell ref="E13:F13"/>
    <mergeCell ref="C13:C1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2"/>
  <sheetViews>
    <sheetView tabSelected="1" workbookViewId="0">
      <selection activeCell="C2" sqref="C2"/>
    </sheetView>
  </sheetViews>
  <sheetFormatPr defaultColWidth="8.7109375" defaultRowHeight="15"/>
  <cols>
    <col min="1" max="1" width="15.7109375" style="30" customWidth="1"/>
    <col min="2" max="2" width="7.42578125" style="30" bestFit="1" customWidth="1"/>
    <col min="3" max="3" width="6.7109375" style="30" bestFit="1" customWidth="1"/>
    <col min="4" max="4" width="10.7109375" style="30" bestFit="1" customWidth="1"/>
    <col min="5" max="5" width="8.7109375" style="30" bestFit="1" customWidth="1"/>
    <col min="6" max="6" width="9" style="30" bestFit="1" customWidth="1"/>
    <col min="7" max="7" width="15.42578125" style="30" bestFit="1" customWidth="1"/>
    <col min="8" max="8" width="13.42578125" style="30" bestFit="1" customWidth="1"/>
    <col min="9" max="9" width="13.7109375" style="30" bestFit="1" customWidth="1"/>
    <col min="10" max="10" width="14.28515625" style="30" bestFit="1" customWidth="1"/>
    <col min="11" max="11" width="12" style="30" bestFit="1" customWidth="1"/>
    <col min="12" max="12" width="12.28515625" style="30" bestFit="1" customWidth="1"/>
    <col min="13" max="13" width="8.7109375" style="30"/>
    <col min="14" max="14" width="17.85546875" style="30" customWidth="1"/>
    <col min="15" max="16384" width="8.7109375" style="30"/>
  </cols>
  <sheetData>
    <row r="1" spans="1:15">
      <c r="A1" s="29" t="s">
        <v>50</v>
      </c>
      <c r="B1" s="29" t="s">
        <v>15</v>
      </c>
      <c r="C1" s="29" t="s">
        <v>16</v>
      </c>
      <c r="D1" s="29" t="s">
        <v>17</v>
      </c>
      <c r="E1" s="29" t="s">
        <v>18</v>
      </c>
      <c r="F1" s="29" t="s">
        <v>19</v>
      </c>
      <c r="G1" s="29" t="s">
        <v>20</v>
      </c>
      <c r="H1" s="29" t="s">
        <v>21</v>
      </c>
      <c r="I1" s="29" t="s">
        <v>22</v>
      </c>
      <c r="J1" s="29" t="s">
        <v>23</v>
      </c>
      <c r="K1" s="29" t="s">
        <v>24</v>
      </c>
      <c r="L1" s="29" t="s">
        <v>25</v>
      </c>
      <c r="M1" s="30" t="s">
        <v>49</v>
      </c>
      <c r="N1" s="30" t="s">
        <v>26</v>
      </c>
      <c r="O1" s="30" t="s">
        <v>51</v>
      </c>
    </row>
    <row r="2" spans="1:15">
      <c r="A2" s="30" t="s">
        <v>93</v>
      </c>
      <c r="B2" s="30" t="s">
        <v>14</v>
      </c>
      <c r="D2" s="30">
        <v>60</v>
      </c>
      <c r="E2" s="30" t="s">
        <v>46</v>
      </c>
      <c r="F2" s="30" t="s">
        <v>46</v>
      </c>
      <c r="G2" s="30">
        <v>80</v>
      </c>
      <c r="H2" s="30" t="s">
        <v>46</v>
      </c>
      <c r="I2" s="30" t="s">
        <v>46</v>
      </c>
      <c r="J2" s="30">
        <v>95</v>
      </c>
      <c r="K2" s="30" t="s">
        <v>46</v>
      </c>
      <c r="L2" s="30" t="s">
        <v>46</v>
      </c>
      <c r="M2" s="30">
        <v>5</v>
      </c>
      <c r="N2" s="30" t="s">
        <v>92</v>
      </c>
      <c r="O2" s="30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"/>
  <sheetViews>
    <sheetView workbookViewId="0">
      <selection activeCell="I1" sqref="I1"/>
    </sheetView>
  </sheetViews>
  <sheetFormatPr defaultRowHeight="15"/>
  <cols>
    <col min="1" max="4" width="15.28515625" customWidth="1"/>
  </cols>
  <sheetData>
    <row r="1" spans="1:9">
      <c r="B1" t="s">
        <v>0</v>
      </c>
      <c r="C1" t="s">
        <v>1</v>
      </c>
      <c r="D1" t="s">
        <v>3</v>
      </c>
      <c r="E1" t="s">
        <v>60</v>
      </c>
      <c r="F1" t="s">
        <v>61</v>
      </c>
      <c r="G1" t="s">
        <v>62</v>
      </c>
      <c r="H1" t="s">
        <v>63</v>
      </c>
      <c r="I1" t="s">
        <v>43</v>
      </c>
    </row>
    <row r="2" spans="1:9">
      <c r="A2" t="s">
        <v>53</v>
      </c>
      <c r="B2">
        <v>-36.041428600000003</v>
      </c>
      <c r="C2">
        <v>0.7412782</v>
      </c>
      <c r="D2">
        <v>-0.45266919999999999</v>
      </c>
      <c r="E2">
        <v>-4.5750000000000002</v>
      </c>
      <c r="F2">
        <v>-2.8250000000000002</v>
      </c>
      <c r="G2">
        <v>-1.8625</v>
      </c>
      <c r="H2">
        <v>-1.3374999999999999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7"/>
  <sheetViews>
    <sheetView workbookViewId="0">
      <selection activeCell="G2" sqref="G2"/>
    </sheetView>
  </sheetViews>
  <sheetFormatPr defaultRowHeight="15"/>
  <cols>
    <col min="1" max="4" width="15.28515625" customWidth="1"/>
  </cols>
  <sheetData>
    <row r="1" spans="1:10">
      <c r="B1" t="s">
        <v>0</v>
      </c>
      <c r="C1" t="s">
        <v>1</v>
      </c>
      <c r="D1" t="s">
        <v>3</v>
      </c>
      <c r="E1" t="s">
        <v>60</v>
      </c>
      <c r="F1" t="s">
        <v>61</v>
      </c>
      <c r="G1" t="s">
        <v>62</v>
      </c>
      <c r="H1" t="s">
        <v>63</v>
      </c>
      <c r="J1" t="s">
        <v>59</v>
      </c>
    </row>
    <row r="2" spans="1:10">
      <c r="A2" t="s">
        <v>53</v>
      </c>
      <c r="B2">
        <v>-36.041428600000003</v>
      </c>
      <c r="C2">
        <v>0.7412782</v>
      </c>
      <c r="D2">
        <v>-0.45266919999999999</v>
      </c>
      <c r="E2">
        <v>-4.5750000000000002</v>
      </c>
      <c r="F2">
        <v>-2.8250000000000002</v>
      </c>
      <c r="G2">
        <v>-1.8625</v>
      </c>
      <c r="H2">
        <v>-1.3374999999999999</v>
      </c>
      <c r="J2">
        <v>11</v>
      </c>
    </row>
    <row r="3" spans="1:10">
      <c r="A3" t="s">
        <v>54</v>
      </c>
      <c r="D3">
        <v>34.785710000000002</v>
      </c>
    </row>
    <row r="4" spans="1:10">
      <c r="A4" t="s">
        <v>55</v>
      </c>
      <c r="D4">
        <v>33.332140000000003</v>
      </c>
    </row>
    <row r="5" spans="1:10">
      <c r="A5" t="s">
        <v>56</v>
      </c>
      <c r="C5">
        <v>17.4082671</v>
      </c>
      <c r="E5">
        <v>-6.3250000000000002</v>
      </c>
      <c r="F5">
        <v>-4.2625000000000002</v>
      </c>
      <c r="G5">
        <v>-2.7875000000000001</v>
      </c>
      <c r="H5">
        <v>-1.9750000000000001</v>
      </c>
    </row>
    <row r="6" spans="1:10">
      <c r="A6" t="s">
        <v>57</v>
      </c>
      <c r="B6">
        <v>120.8612365</v>
      </c>
      <c r="C6">
        <v>3.48375E-2</v>
      </c>
      <c r="E6">
        <v>-4.3624999999999998</v>
      </c>
      <c r="F6">
        <v>-3.0874999999999999</v>
      </c>
      <c r="G6">
        <v>-2.125</v>
      </c>
      <c r="H6">
        <v>-1.5125</v>
      </c>
    </row>
    <row r="7" spans="1:10">
      <c r="A7" t="s">
        <v>58</v>
      </c>
      <c r="B7">
        <v>-21.456453100000001</v>
      </c>
      <c r="C7">
        <v>0.37256319999999998</v>
      </c>
      <c r="E7">
        <v>-1.8625</v>
      </c>
      <c r="F7">
        <v>-1.075</v>
      </c>
      <c r="G7">
        <v>-0.8</v>
      </c>
      <c r="H7">
        <v>-0.85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>
      <selection activeCell="F2" sqref="F2"/>
    </sheetView>
  </sheetViews>
  <sheetFormatPr defaultRowHeight="15"/>
  <cols>
    <col min="1" max="1" width="10.28515625" customWidth="1"/>
    <col min="2" max="4" width="16.28515625" customWidth="1"/>
    <col min="5" max="5" width="1.7109375" customWidth="1"/>
    <col min="6" max="6" width="9.42578125" customWidth="1"/>
    <col min="7" max="7" width="13.28515625" customWidth="1"/>
  </cols>
  <sheetData>
    <row r="1" spans="1:7">
      <c r="A1" s="6"/>
      <c r="B1" s="3" t="s">
        <v>0</v>
      </c>
      <c r="C1" s="4" t="s">
        <v>1</v>
      </c>
      <c r="D1" s="5" t="s">
        <v>3</v>
      </c>
      <c r="F1" t="s">
        <v>7</v>
      </c>
      <c r="G1" t="s">
        <v>8</v>
      </c>
    </row>
    <row r="2" spans="1:7" ht="15.75">
      <c r="A2" s="11" t="s">
        <v>4</v>
      </c>
      <c r="B2" s="12">
        <v>-23.3655835</v>
      </c>
      <c r="C2" s="13">
        <v>0.40535739999999998</v>
      </c>
      <c r="D2" s="14">
        <v>0.48585919999999999</v>
      </c>
      <c r="F2" t="s">
        <v>14</v>
      </c>
      <c r="G2" s="21">
        <v>190</v>
      </c>
    </row>
    <row r="3" spans="1:7" ht="15.75">
      <c r="A3" s="1" t="s">
        <v>5</v>
      </c>
      <c r="B3" s="15">
        <v>-68.772372000000004</v>
      </c>
      <c r="C3" s="16">
        <v>0.82896080000000005</v>
      </c>
      <c r="D3" s="17">
        <v>-2.1438312000000002</v>
      </c>
      <c r="G3" s="26">
        <f>IF(GV="MALE",0,1)</f>
        <v>0</v>
      </c>
    </row>
    <row r="4" spans="1:7" ht="15.75">
      <c r="A4" s="2" t="s">
        <v>6</v>
      </c>
      <c r="B4" s="18">
        <v>-38.466853299999997</v>
      </c>
      <c r="C4" s="19">
        <v>0.95515689999999998</v>
      </c>
      <c r="D4" s="20">
        <v>-0.64525129999999997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2"/>
  <sheetViews>
    <sheetView workbookViewId="0">
      <selection activeCell="F2" sqref="F2"/>
    </sheetView>
  </sheetViews>
  <sheetFormatPr defaultRowHeight="15"/>
  <cols>
    <col min="1" max="4" width="15.7109375" customWidth="1"/>
    <col min="5" max="5" width="2.140625" customWidth="1"/>
  </cols>
  <sheetData>
    <row r="1" spans="1:20">
      <c r="A1" s="6"/>
      <c r="B1" s="3" t="s">
        <v>0</v>
      </c>
      <c r="C1" s="4" t="s">
        <v>1</v>
      </c>
      <c r="D1" s="5" t="s">
        <v>3</v>
      </c>
      <c r="E1" s="43"/>
      <c r="F1" s="42"/>
      <c r="G1" s="42"/>
      <c r="H1" s="75" t="s">
        <v>67</v>
      </c>
      <c r="I1" s="76"/>
      <c r="J1" s="37"/>
      <c r="K1" s="75" t="s">
        <v>47</v>
      </c>
      <c r="L1" s="77"/>
      <c r="M1" s="77"/>
      <c r="N1" s="76"/>
      <c r="P1" s="75" t="s">
        <v>72</v>
      </c>
      <c r="Q1" s="77"/>
      <c r="R1" s="76"/>
    </row>
    <row r="2" spans="1:20" ht="15.75">
      <c r="A2" s="22" t="s">
        <v>12</v>
      </c>
      <c r="B2" s="12">
        <v>-21.1358177</v>
      </c>
      <c r="C2" s="23">
        <v>0.74523430000000002</v>
      </c>
      <c r="D2" s="14">
        <v>0.78996860000000002</v>
      </c>
      <c r="E2" s="43"/>
      <c r="F2" s="42" t="s">
        <v>14</v>
      </c>
      <c r="G2" s="42"/>
      <c r="H2" s="40" t="s">
        <v>44</v>
      </c>
      <c r="I2" s="41" t="s">
        <v>45</v>
      </c>
      <c r="J2" s="38"/>
      <c r="K2" s="40" t="s">
        <v>68</v>
      </c>
      <c r="L2" s="39" t="s">
        <v>69</v>
      </c>
      <c r="M2" s="39" t="s">
        <v>70</v>
      </c>
      <c r="N2" s="41" t="s">
        <v>71</v>
      </c>
      <c r="P2" s="40" t="s">
        <v>73</v>
      </c>
      <c r="Q2" s="39" t="s">
        <v>40</v>
      </c>
      <c r="R2" s="41" t="s">
        <v>41</v>
      </c>
      <c r="T2" s="38"/>
    </row>
    <row r="3" spans="1:20" ht="15.75">
      <c r="A3" s="22" t="s">
        <v>13</v>
      </c>
      <c r="B3" s="18">
        <v>-7.2693623000000001</v>
      </c>
      <c r="C3" s="19">
        <v>0.97308510000000004</v>
      </c>
      <c r="D3" s="24"/>
      <c r="E3" s="43"/>
      <c r="F3" s="42"/>
      <c r="G3" s="42"/>
    </row>
    <row r="4" spans="1:20">
      <c r="A4" s="43"/>
      <c r="B4" s="43"/>
      <c r="C4" s="43"/>
      <c r="D4" s="43"/>
      <c r="E4" s="43"/>
      <c r="F4" s="22"/>
      <c r="G4" s="22"/>
    </row>
    <row r="5" spans="1:20">
      <c r="A5" s="43"/>
      <c r="B5" s="43"/>
      <c r="C5" s="43"/>
      <c r="D5" s="43"/>
      <c r="E5" s="43"/>
      <c r="F5" s="22"/>
      <c r="G5" s="22"/>
    </row>
    <row r="6" spans="1:20">
      <c r="A6" s="43"/>
      <c r="B6" s="43"/>
      <c r="C6" s="43"/>
      <c r="D6" s="43"/>
      <c r="E6" s="43"/>
      <c r="F6" s="22"/>
      <c r="G6" s="22"/>
    </row>
    <row r="7" spans="1:20">
      <c r="A7" s="43"/>
      <c r="B7" s="43"/>
      <c r="C7" s="43"/>
      <c r="D7" s="43"/>
      <c r="E7" s="43"/>
      <c r="F7" s="22"/>
      <c r="G7" s="22"/>
    </row>
    <row r="8" spans="1:20">
      <c r="A8" s="43"/>
      <c r="B8" s="43"/>
      <c r="C8" s="43"/>
      <c r="D8" s="43"/>
      <c r="E8" s="43"/>
      <c r="F8" s="22"/>
      <c r="G8" s="22"/>
    </row>
    <row r="9" spans="1:20">
      <c r="A9" s="43"/>
      <c r="B9" s="43"/>
      <c r="C9" s="43"/>
      <c r="D9" s="43"/>
      <c r="E9" s="43"/>
      <c r="F9" s="22"/>
      <c r="G9" s="22"/>
      <c r="H9" s="10"/>
    </row>
    <row r="10" spans="1:20">
      <c r="A10" s="43"/>
      <c r="B10" s="43"/>
      <c r="C10" s="43"/>
      <c r="D10" s="43"/>
      <c r="E10" s="43"/>
      <c r="F10" s="22"/>
      <c r="G10" s="22"/>
      <c r="H10" s="10"/>
    </row>
    <row r="11" spans="1:20">
      <c r="A11" s="43"/>
      <c r="B11" s="43"/>
      <c r="C11" s="43"/>
      <c r="D11" s="43"/>
      <c r="E11" s="43"/>
      <c r="F11" s="22"/>
      <c r="G11" s="10"/>
      <c r="H11" s="10"/>
    </row>
    <row r="12" spans="1:20">
      <c r="H12" s="10"/>
    </row>
  </sheetData>
  <mergeCells count="3">
    <mergeCell ref="H1:I1"/>
    <mergeCell ref="K1:N1"/>
    <mergeCell ref="P1:R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0"/>
  <sheetViews>
    <sheetView workbookViewId="0">
      <selection activeCell="C4" sqref="C4"/>
    </sheetView>
  </sheetViews>
  <sheetFormatPr defaultRowHeight="15"/>
  <cols>
    <col min="1" max="1" width="3.85546875" customWidth="1"/>
    <col min="2" max="2" width="16.42578125" customWidth="1"/>
    <col min="3" max="3" width="15.85546875" customWidth="1"/>
    <col min="5" max="5" width="15.42578125" customWidth="1"/>
  </cols>
  <sheetData>
    <row r="1" spans="1:5">
      <c r="A1" s="7"/>
      <c r="B1" s="8"/>
      <c r="C1" s="8"/>
      <c r="D1" s="8"/>
    </row>
    <row r="2" spans="1:5">
      <c r="A2" s="9" t="s">
        <v>10</v>
      </c>
      <c r="B2" s="10"/>
      <c r="C2" s="10" t="s">
        <v>11</v>
      </c>
      <c r="D2" s="10"/>
    </row>
    <row r="3" spans="1:5">
      <c r="A3" s="9"/>
      <c r="B3" s="11" t="s">
        <v>4</v>
      </c>
      <c r="C3" s="25">
        <f>SUM(SittingAdultDTC!B2+(SittingAdultDTC!C2*BodyHeight)+(SittingAdultDTC!D2*GVfactor))</f>
        <v>53.652322499999997</v>
      </c>
      <c r="D3" s="10"/>
    </row>
    <row r="4" spans="1:5">
      <c r="A4" s="9"/>
      <c r="B4" s="1" t="s">
        <v>5</v>
      </c>
      <c r="C4" s="25">
        <f>SUM(SittingAdultDTC!B3+(SittingAdultDTC!C3*BodyHeight)+(SittingAdultDTC!D3*GVfactor))</f>
        <v>88.730180000000004</v>
      </c>
      <c r="D4" s="10"/>
    </row>
    <row r="5" spans="1:5">
      <c r="A5" s="9"/>
      <c r="B5" s="2" t="s">
        <v>6</v>
      </c>
      <c r="C5" s="35">
        <f>SUM(SittingAdultDTC!B4+(SittingAdultDTC!C4*BodyHeight)+(SittingAdultDTC!D4*GVfactor))</f>
        <v>143.01295769999999</v>
      </c>
      <c r="D5" s="10"/>
    </row>
    <row r="6" spans="1:5">
      <c r="A6" s="9"/>
      <c r="B6" s="8"/>
      <c r="C6" s="10"/>
      <c r="D6" s="10"/>
    </row>
    <row r="7" spans="1:5">
      <c r="A7" s="78" t="s">
        <v>2</v>
      </c>
      <c r="B7" s="79"/>
      <c r="C7" s="10" t="s">
        <v>11</v>
      </c>
      <c r="D7" s="10"/>
    </row>
    <row r="8" spans="1:5">
      <c r="A8" s="9"/>
      <c r="B8" s="27" t="s">
        <v>12</v>
      </c>
      <c r="C8" s="35">
        <f>SUM(StandingAdultDTC!B2+(StandingAdultDTC!C2*BodyHeight)+(StandingAdultDTC!D2*GVcode))</f>
        <v>120.45869929999999</v>
      </c>
      <c r="D8" s="10"/>
    </row>
    <row r="9" spans="1:5">
      <c r="A9" s="9"/>
      <c r="B9" s="28" t="s">
        <v>13</v>
      </c>
      <c r="C9" s="34">
        <f>SUM(StandingAdultDTC!B3+(StandingAdultDTC!C3*BodyHeight))</f>
        <v>177.61680669999998</v>
      </c>
      <c r="D9" s="10"/>
    </row>
    <row r="10" spans="1:5">
      <c r="A10" s="9"/>
      <c r="B10" s="10"/>
      <c r="C10" s="10"/>
      <c r="D10" s="10"/>
    </row>
    <row r="11" spans="1:5">
      <c r="A11" s="80" t="s">
        <v>64</v>
      </c>
      <c r="B11" s="81"/>
      <c r="C11" s="10" t="s">
        <v>11</v>
      </c>
      <c r="D11" s="10"/>
    </row>
    <row r="12" spans="1:5">
      <c r="A12" s="9"/>
      <c r="B12" s="3" t="s">
        <v>53</v>
      </c>
      <c r="C12" s="6"/>
      <c r="D12" s="10"/>
    </row>
    <row r="13" spans="1:5">
      <c r="A13" s="9"/>
      <c r="B13" s="10"/>
      <c r="C13" s="10"/>
      <c r="D13" s="10"/>
    </row>
    <row r="14" spans="1:5">
      <c r="A14" s="81" t="s">
        <v>65</v>
      </c>
      <c r="B14" s="81"/>
      <c r="C14" s="10" t="s">
        <v>11</v>
      </c>
      <c r="D14" s="10"/>
      <c r="E14" s="10" t="s">
        <v>66</v>
      </c>
    </row>
    <row r="15" spans="1:5">
      <c r="B15" s="7" t="s">
        <v>53</v>
      </c>
      <c r="C15" s="6">
        <f>(StandingAdultNBC!B2-(StandingAdultNBC!C2*GVcode)+SV)</f>
        <v>-40.616428600000006</v>
      </c>
      <c r="E15">
        <v>-4.5750000000000002</v>
      </c>
    </row>
    <row r="16" spans="1:5">
      <c r="B16" s="9" t="s">
        <v>54</v>
      </c>
      <c r="C16" s="6">
        <f>StandingAdultNBC!D3+Calculation!C15</f>
        <v>-5.8307186000000044</v>
      </c>
    </row>
    <row r="17" spans="2:3">
      <c r="B17" s="9" t="s">
        <v>55</v>
      </c>
      <c r="C17" s="6">
        <f>StandingAdultNBC!D4+Calculation!C16</f>
        <v>27.501421399999998</v>
      </c>
    </row>
    <row r="18" spans="2:3">
      <c r="B18" s="9" t="s">
        <v>56</v>
      </c>
      <c r="C18" s="6"/>
    </row>
    <row r="19" spans="2:3">
      <c r="B19" s="9" t="s">
        <v>57</v>
      </c>
      <c r="C19" s="6"/>
    </row>
    <row r="20" spans="2:3">
      <c r="B20" s="36" t="s">
        <v>58</v>
      </c>
      <c r="C20" s="6"/>
    </row>
  </sheetData>
  <mergeCells count="3">
    <mergeCell ref="A7:B7"/>
    <mergeCell ref="A11:B11"/>
    <mergeCell ref="A14:B14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4:I8"/>
  <sheetViews>
    <sheetView workbookViewId="0">
      <selection activeCell="E8" sqref="E8"/>
    </sheetView>
  </sheetViews>
  <sheetFormatPr defaultColWidth="8.7109375" defaultRowHeight="15"/>
  <cols>
    <col min="1" max="2" width="17" style="30" bestFit="1" customWidth="1"/>
    <col min="3" max="4" width="8.7109375" style="30"/>
    <col min="5" max="5" width="21" style="30" bestFit="1" customWidth="1"/>
    <col min="6" max="7" width="8.7109375" style="30"/>
    <col min="8" max="8" width="15.7109375" style="30" bestFit="1" customWidth="1"/>
    <col min="9" max="16384" width="8.7109375" style="30"/>
  </cols>
  <sheetData>
    <row r="4" spans="2:9">
      <c r="B4" s="29" t="s">
        <v>33</v>
      </c>
      <c r="C4" s="29" t="s">
        <v>34</v>
      </c>
      <c r="E4" s="29" t="s">
        <v>35</v>
      </c>
      <c r="F4" s="29" t="s">
        <v>34</v>
      </c>
      <c r="H4" s="31" t="s">
        <v>36</v>
      </c>
      <c r="I4" s="32" t="s">
        <v>47</v>
      </c>
    </row>
    <row r="5" spans="2:9">
      <c r="B5" s="29" t="s">
        <v>39</v>
      </c>
      <c r="C5" s="33">
        <v>35</v>
      </c>
      <c r="E5" s="29" t="s">
        <v>43</v>
      </c>
      <c r="F5" s="29">
        <v>60</v>
      </c>
      <c r="H5" s="29" t="s">
        <v>37</v>
      </c>
      <c r="I5" s="32" t="s">
        <v>48</v>
      </c>
    </row>
    <row r="6" spans="2:9">
      <c r="B6" s="29" t="s">
        <v>40</v>
      </c>
      <c r="C6" s="33">
        <v>15</v>
      </c>
      <c r="E6" s="29" t="s">
        <v>45</v>
      </c>
      <c r="F6" s="29">
        <v>80</v>
      </c>
      <c r="H6" s="29" t="s">
        <v>38</v>
      </c>
      <c r="I6" s="32" t="s">
        <v>48</v>
      </c>
    </row>
    <row r="7" spans="2:9">
      <c r="B7" s="29" t="s">
        <v>41</v>
      </c>
      <c r="C7" s="33">
        <v>0</v>
      </c>
      <c r="E7" s="29" t="s">
        <v>44</v>
      </c>
      <c r="F7" s="29">
        <v>95</v>
      </c>
    </row>
    <row r="8" spans="2:9">
      <c r="B8" s="29" t="s">
        <v>42</v>
      </c>
      <c r="C8" s="33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20</vt:i4>
      </vt:variant>
    </vt:vector>
  </HeadingPairs>
  <TitlesOfParts>
    <vt:vector size="30" baseType="lpstr">
      <vt:lpstr>GV-Engine</vt:lpstr>
      <vt:lpstr>BH</vt:lpstr>
      <vt:lpstr>Report</vt:lpstr>
      <vt:lpstr>DataSheet</vt:lpstr>
      <vt:lpstr>SittingAdultNBC</vt:lpstr>
      <vt:lpstr>StandingAdultNBC</vt:lpstr>
      <vt:lpstr>SittingAdultDTC</vt:lpstr>
      <vt:lpstr>StandingAdultDTC</vt:lpstr>
      <vt:lpstr>Calculation</vt:lpstr>
      <vt:lpstr>Result</vt:lpstr>
      <vt:lpstr>AKH</vt:lpstr>
      <vt:lpstr>AMH</vt:lpstr>
      <vt:lpstr>ASH</vt:lpstr>
      <vt:lpstr>BodyHeight</vt:lpstr>
      <vt:lpstr>FR</vt:lpstr>
      <vt:lpstr>Gender</vt:lpstr>
      <vt:lpstr>GV</vt:lpstr>
      <vt:lpstr>GVcode</vt:lpstr>
      <vt:lpstr>GVfactor</vt:lpstr>
      <vt:lpstr>Height</vt:lpstr>
      <vt:lpstr>KS</vt:lpstr>
      <vt:lpstr>MnKH</vt:lpstr>
      <vt:lpstr>MnMH</vt:lpstr>
      <vt:lpstr>MnSH</vt:lpstr>
      <vt:lpstr>MS</vt:lpstr>
      <vt:lpstr>MxKH</vt:lpstr>
      <vt:lpstr>MxMH</vt:lpstr>
      <vt:lpstr>MxSH</vt:lpstr>
      <vt:lpstr>SS</vt:lpstr>
      <vt:lpstr>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Kasidis Chomrat</dc:creator>
  <cp:lastModifiedBy>Kasidis Chomrat</cp:lastModifiedBy>
  <dcterms:created xsi:type="dcterms:W3CDTF">2015-10-17T14:26:58Z</dcterms:created>
  <dcterms:modified xsi:type="dcterms:W3CDTF">2016-03-18T16:21:14Z</dcterms:modified>
</cp:coreProperties>
</file>